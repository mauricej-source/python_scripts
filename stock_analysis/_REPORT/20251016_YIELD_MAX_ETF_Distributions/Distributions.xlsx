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scripts_PYTHON\_personal\_REPORT\20251016_YIELD_MAX_ETF_Distributions\"/>
    </mc:Choice>
  </mc:AlternateContent>
  <xr:revisionPtr revIDLastSave="0" documentId="13_ncr:1_{D09631FF-2594-4103-855F-69EA0EFB5127}" xr6:coauthVersionLast="47" xr6:coauthVersionMax="47" xr10:uidLastSave="{00000000-0000-0000-0000-000000000000}"/>
  <bookViews>
    <workbookView xWindow="-120" yWindow="-120" windowWidth="29040" windowHeight="15720" xr2:uid="{1E441C6B-5551-4995-A408-37577A243EA5}"/>
  </bookViews>
  <sheets>
    <sheet name="Group 2" sheetId="1" r:id="rId1"/>
    <sheet name="Group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J63" i="1"/>
  <c r="J64" i="1"/>
  <c r="J53" i="1"/>
  <c r="J54" i="1"/>
  <c r="J55" i="1"/>
  <c r="J56" i="1"/>
  <c r="J57" i="1"/>
  <c r="J58" i="1"/>
  <c r="J59" i="1"/>
  <c r="J60" i="1"/>
  <c r="J61" i="1"/>
  <c r="J52" i="1"/>
  <c r="J4" i="1"/>
  <c r="J7" i="1"/>
  <c r="J8" i="1"/>
  <c r="J6" i="1"/>
  <c r="J12" i="1"/>
  <c r="J11" i="1"/>
  <c r="J5" i="1"/>
  <c r="J10" i="1"/>
  <c r="J13" i="1"/>
  <c r="J14" i="1"/>
  <c r="J17" i="1"/>
  <c r="J16" i="1"/>
  <c r="J15" i="1"/>
  <c r="J18" i="1"/>
  <c r="J21" i="1"/>
  <c r="J22" i="1"/>
  <c r="J19" i="1"/>
  <c r="J20" i="1"/>
  <c r="J23" i="1"/>
  <c r="J29" i="1"/>
  <c r="J42" i="1"/>
  <c r="J39" i="1"/>
  <c r="J26" i="1"/>
  <c r="J47" i="1"/>
  <c r="J44" i="1"/>
  <c r="J24" i="1"/>
  <c r="J46" i="1"/>
  <c r="J41" i="1"/>
  <c r="J43" i="1"/>
  <c r="J27" i="1"/>
  <c r="J32" i="1"/>
  <c r="J36" i="1"/>
  <c r="J28" i="1"/>
  <c r="J48" i="1"/>
  <c r="J35" i="1"/>
  <c r="J34" i="1"/>
  <c r="J40" i="1"/>
  <c r="J33" i="1"/>
  <c r="J25" i="1"/>
  <c r="J45" i="1"/>
  <c r="J30" i="1"/>
  <c r="J31" i="1"/>
  <c r="J37" i="1"/>
  <c r="J38" i="1"/>
  <c r="J9" i="1"/>
  <c r="J65" i="1" l="1"/>
  <c r="J49" i="1"/>
  <c r="J68" i="1" l="1"/>
</calcChain>
</file>

<file path=xl/sharedStrings.xml><?xml version="1.0" encoding="utf-8"?>
<sst xmlns="http://schemas.openxmlformats.org/spreadsheetml/2006/main" count="249" uniqueCount="147">
  <si>
    <t>ETF Name</t>
  </si>
  <si>
    <t>Distribution Frequency</t>
  </si>
  <si>
    <t>Distribution per Share</t>
  </si>
  <si>
    <t>ABNY</t>
  </si>
  <si>
    <t>YieldMax ABNB Option Income Strategy ETF</t>
  </si>
  <si>
    <t>Weekly</t>
  </si>
  <si>
    <t>AIYY</t>
  </si>
  <si>
    <t>YieldMax AI Option Income Strategy ETF</t>
  </si>
  <si>
    <t>AMDY</t>
  </si>
  <si>
    <t>YieldMax AMD Option Income Strategy ETF</t>
  </si>
  <si>
    <t>AMZY</t>
  </si>
  <si>
    <t>YieldMax AMZN Option Income Strategy ETF</t>
  </si>
  <si>
    <t>APLY</t>
  </si>
  <si>
    <t>YieldMax AAPL Option Income Strategy ETF</t>
  </si>
  <si>
    <t>BABO</t>
  </si>
  <si>
    <t>YieldMax BABA Option Income Strategy</t>
  </si>
  <si>
    <t>BRKC</t>
  </si>
  <si>
    <t>YieldMax BRKB Option Income Strategy ETF</t>
  </si>
  <si>
    <t>CONY</t>
  </si>
  <si>
    <t>YieldMax COIN Option Income Strategy ETF</t>
  </si>
  <si>
    <t>CRCO</t>
  </si>
  <si>
    <t>YieldMax CRCL Option Income Strategy ETF</t>
  </si>
  <si>
    <t>CRSH</t>
  </si>
  <si>
    <t>CVNY</t>
  </si>
  <si>
    <t>YieldMax CVNA Option Income Strategy ETF</t>
  </si>
  <si>
    <t>DIPS</t>
  </si>
  <si>
    <t>DISO</t>
  </si>
  <si>
    <t>YieldMax DIS Option Income Strategy ETF</t>
  </si>
  <si>
    <t>DRAY</t>
  </si>
  <si>
    <t>YieldMax DKNG Option Income Strategy ETF</t>
  </si>
  <si>
    <t>FBY</t>
  </si>
  <si>
    <t>YieldMax META Option Income Strategy ETF</t>
  </si>
  <si>
    <t>FIAT</t>
  </si>
  <si>
    <t>GDXY</t>
  </si>
  <si>
    <t>YieldMax Gold Miners Option Income Strategy ETF</t>
  </si>
  <si>
    <t>GMEY</t>
  </si>
  <si>
    <t>YieldMax GME Option Income Strategy ETF</t>
  </si>
  <si>
    <t>GOOY</t>
  </si>
  <si>
    <t>YieldMax GOOGL Option Income Strategy ETF</t>
  </si>
  <si>
    <t>HIYY</t>
  </si>
  <si>
    <t>YieldMax HIMS Option Income Strategy ETF</t>
  </si>
  <si>
    <t>HOOY</t>
  </si>
  <si>
    <t>YieldMax HOOD Option Income Strategy ETF</t>
  </si>
  <si>
    <t>JPMO</t>
  </si>
  <si>
    <t>YieldMax JPM Option Income Strategy ETF</t>
  </si>
  <si>
    <t>MARO</t>
  </si>
  <si>
    <t>YieldMax MARA Option Income Strategy ETF</t>
  </si>
  <si>
    <t>MRNY</t>
  </si>
  <si>
    <t>YieldMax MRNA Option Income Strategy ETF</t>
  </si>
  <si>
    <t>MSFO</t>
  </si>
  <si>
    <t>YieldMax MSFT Option Income Strategy ETF</t>
  </si>
  <si>
    <t>MSTY</t>
  </si>
  <si>
    <t>YieldMax MSTR Option Income Strategy ETF</t>
  </si>
  <si>
    <t>NFLY</t>
  </si>
  <si>
    <t>YieldMax NFLX Option Income Strategy ETF</t>
  </si>
  <si>
    <t>NVDY</t>
  </si>
  <si>
    <t>YieldMax NVDA Option Income Strategy ETF</t>
  </si>
  <si>
    <t>OARK</t>
  </si>
  <si>
    <t>YieldMax Innovation Option Income Strategy ETF</t>
  </si>
  <si>
    <t>PLTY</t>
  </si>
  <si>
    <t>YieldMax PLTR Option Income Strategy ETF</t>
  </si>
  <si>
    <t>PYPY</t>
  </si>
  <si>
    <t>YieldMax PYPL Option Income Strategy ETF</t>
  </si>
  <si>
    <t>RBLY</t>
  </si>
  <si>
    <t>YieldMax RBLX Option Income Strategy ETF</t>
  </si>
  <si>
    <t>RDYY*</t>
  </si>
  <si>
    <t>YieldMax RDDT Option Income Strategy ETF</t>
  </si>
  <si>
    <t>SMCY</t>
  </si>
  <si>
    <t>YieldMax SMCI Option Income Strategy ETF</t>
  </si>
  <si>
    <t>SNOY</t>
  </si>
  <si>
    <t>YieldMax SNOW Option Income Strategy ETF</t>
  </si>
  <si>
    <t>TSLY</t>
  </si>
  <si>
    <t>YieldMax TSLA Option Income Strategy ETF</t>
  </si>
  <si>
    <t>TSMY</t>
  </si>
  <si>
    <t>YieldMax TSM Option Income Strategy ETF</t>
  </si>
  <si>
    <t>WNTR</t>
  </si>
  <si>
    <t>XOMO</t>
  </si>
  <si>
    <t>YieldMax XOM Option Income Strategy ETF</t>
  </si>
  <si>
    <t>XYZY</t>
  </si>
  <si>
    <t>YieldMax XYZ Option Income Strategy ETF</t>
  </si>
  <si>
    <t>YBIT</t>
  </si>
  <si>
    <t>YieldMax Bitcoin Option Income Strategy ETF</t>
  </si>
  <si>
    <t>YQQQ</t>
  </si>
  <si>
    <t>Number of Shares</t>
  </si>
  <si>
    <t>TOTAL:</t>
  </si>
  <si>
    <t>CHPY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</si>
  <si>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Semiconductor Portfolio</t>
    </r>
  </si>
  <si>
    <t>Option Income ETF</t>
  </si>
  <si>
    <t>FEAT</t>
  </si>
  <si>
    <t>YieldMax Dorsey Wright Featured 5</t>
  </si>
  <si>
    <t>Income ETF</t>
  </si>
  <si>
    <t>FIVY</t>
  </si>
  <si>
    <t>YieldMax Dorsey Wright Hybrid 5</t>
  </si>
  <si>
    <t>GPTY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</si>
  <si>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AI &amp; Tech Portfolio</t>
    </r>
  </si>
  <si>
    <t>LFGY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</si>
  <si>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Crypto Industry &amp; Tech</t>
    </r>
  </si>
  <si>
    <t>QDTY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</si>
  <si>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Nasdaq 100 0DTE</t>
    </r>
  </si>
  <si>
    <t>RDTY</t>
  </si>
  <si>
    <t>Call ETF</t>
  </si>
  <si>
    <t>SDTY</t>
  </si>
  <si>
    <t>SLTY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</si>
  <si>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Ultra </t>
    </r>
    <r>
      <rPr>
        <i/>
        <sz val="12"/>
        <color rgb="FF35495E"/>
        <rFont val="Arial"/>
        <family val="2"/>
      </rPr>
      <t>Short</t>
    </r>
    <r>
      <rPr>
        <sz val="12"/>
        <color rgb="FF35495E"/>
        <rFont val="Arial"/>
        <family val="2"/>
      </rPr>
      <t> Option</t>
    </r>
  </si>
  <si>
    <t>Income Strategy ETF</t>
  </si>
  <si>
    <t>ULTY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</si>
  <si>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Ultra Option Income</t>
    </r>
  </si>
  <si>
    <t>Strategy ETF</t>
  </si>
  <si>
    <t>YMAG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</si>
  <si>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Magnificent 7 Fund of</t>
    </r>
  </si>
  <si>
    <t>Option Income ETFs</t>
  </si>
  <si>
    <t>YMAX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</si>
  <si>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Universe Fund of Option</t>
    </r>
  </si>
  <si>
    <t>Income ETFs</t>
  </si>
  <si>
    <t>Type</t>
  </si>
  <si>
    <t>Covered - Call ETF</t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</si>
  <si>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S&amp;P 500 0DTE</t>
    </r>
  </si>
  <si>
    <r>
      <t>YieldMax</t>
    </r>
    <r>
      <rPr>
        <sz val="9"/>
        <color rgb="FF35495E"/>
        <rFont val="Arial"/>
        <family val="2"/>
      </rPr>
      <t>®</t>
    </r>
    <r>
      <rPr>
        <sz val="12"/>
        <color rgb="FF35495E"/>
        <rFont val="Arial"/>
        <family val="2"/>
      </rPr>
      <t> R2000 0DTE</t>
    </r>
  </si>
  <si>
    <r>
      <t>ETF Ticker</t>
    </r>
    <r>
      <rPr>
        <b/>
        <i/>
        <sz val="9"/>
        <color rgb="FF35495E"/>
        <rFont val="Arial"/>
        <family val="2"/>
      </rPr>
      <t>1</t>
    </r>
  </si>
  <si>
    <r>
      <t>Distribution Rate</t>
    </r>
    <r>
      <rPr>
        <b/>
        <i/>
        <sz val="9"/>
        <color rgb="FF35495E"/>
        <rFont val="Arial"/>
        <family val="2"/>
      </rPr>
      <t>2,4</t>
    </r>
  </si>
  <si>
    <r>
      <t>30-Day SEC Yield</t>
    </r>
    <r>
      <rPr>
        <b/>
        <i/>
        <sz val="9"/>
        <color rgb="FF35495E"/>
        <rFont val="Arial"/>
        <family val="2"/>
      </rPr>
      <t>3</t>
    </r>
  </si>
  <si>
    <r>
      <t>ROC</t>
    </r>
    <r>
      <rPr>
        <b/>
        <i/>
        <sz val="9"/>
        <color rgb="FF35495E"/>
        <rFont val="Arial"/>
        <family val="2"/>
      </rPr>
      <t>5</t>
    </r>
  </si>
  <si>
    <t>YIELDMAX ETFs - GROUP 2</t>
  </si>
  <si>
    <t>YIELDMAX ETFs - GROUP 1</t>
  </si>
  <si>
    <r>
      <t>ETF Ticker</t>
    </r>
    <r>
      <rPr>
        <b/>
        <i/>
        <vertAlign val="superscript"/>
        <sz val="10"/>
        <color rgb="FF293849"/>
        <rFont val="Arial"/>
        <family val="2"/>
      </rPr>
      <t>1</t>
    </r>
  </si>
  <si>
    <r>
      <t>Distribution Rate</t>
    </r>
    <r>
      <rPr>
        <b/>
        <i/>
        <vertAlign val="superscript"/>
        <sz val="10"/>
        <color rgb="FF293849"/>
        <rFont val="Arial"/>
        <family val="2"/>
      </rPr>
      <t>2,4</t>
    </r>
  </si>
  <si>
    <r>
      <t>30-Day SEC Yield</t>
    </r>
    <r>
      <rPr>
        <b/>
        <i/>
        <vertAlign val="superscript"/>
        <sz val="10"/>
        <color rgb="FF293849"/>
        <rFont val="Arial"/>
        <family val="2"/>
      </rPr>
      <t>3</t>
    </r>
  </si>
  <si>
    <r>
      <t>ROC</t>
    </r>
    <r>
      <rPr>
        <b/>
        <i/>
        <vertAlign val="superscript"/>
        <sz val="10"/>
        <color rgb="FF293849"/>
        <rFont val="Arial"/>
        <family val="2"/>
      </rPr>
      <t>5</t>
    </r>
  </si>
  <si>
    <r>
      <rPr>
        <b/>
        <i/>
        <sz val="10"/>
        <color rgb="FF293849"/>
        <rFont val="Arial"/>
        <family val="2"/>
      </rPr>
      <t xml:space="preserve">Approx </t>
    </r>
    <r>
      <rPr>
        <b/>
        <sz val="10"/>
        <color rgb="FF293849"/>
        <rFont val="Arial"/>
        <family val="2"/>
      </rPr>
      <t>Weekly Distribution</t>
    </r>
  </si>
  <si>
    <r>
      <t>YieldMax</t>
    </r>
    <r>
      <rPr>
        <i/>
        <sz val="10"/>
        <color rgb="FF293849"/>
        <rFont val="Arial"/>
        <family val="2"/>
      </rPr>
      <t>Short</t>
    </r>
    <r>
      <rPr>
        <sz val="10"/>
        <color rgb="FF293849"/>
        <rFont val="Arial"/>
        <family val="2"/>
      </rPr>
      <t>N100 Option Income Strategy ETF</t>
    </r>
  </si>
  <si>
    <r>
      <t>YieldMax</t>
    </r>
    <r>
      <rPr>
        <i/>
        <sz val="10"/>
        <color rgb="FF293849"/>
        <rFont val="Arial"/>
        <family val="2"/>
      </rPr>
      <t>Short</t>
    </r>
    <r>
      <rPr>
        <sz val="10"/>
        <color rgb="FF293849"/>
        <rFont val="Arial"/>
        <family val="2"/>
      </rPr>
      <t>COIN Option Income Strategy ETF</t>
    </r>
  </si>
  <si>
    <r>
      <t>YieldMax</t>
    </r>
    <r>
      <rPr>
        <i/>
        <sz val="10"/>
        <color rgb="FF293849"/>
        <rFont val="Arial"/>
        <family val="2"/>
      </rPr>
      <t>Short</t>
    </r>
    <r>
      <rPr>
        <sz val="10"/>
        <color rgb="FF293849"/>
        <rFont val="Arial"/>
        <family val="2"/>
      </rPr>
      <t>TSLA Option Income Strategy ETF</t>
    </r>
  </si>
  <si>
    <r>
      <t>YieldMax</t>
    </r>
    <r>
      <rPr>
        <i/>
        <sz val="10"/>
        <color rgb="FF293849"/>
        <rFont val="Arial"/>
        <family val="2"/>
      </rPr>
      <t>Short</t>
    </r>
    <r>
      <rPr>
        <sz val="10"/>
        <color rgb="FF293849"/>
        <rFont val="Arial"/>
        <family val="2"/>
      </rPr>
      <t>NVDA Option Income Strategy ETF</t>
    </r>
  </si>
  <si>
    <t>YieldMax® Semiconductor Portfolio</t>
  </si>
  <si>
    <t>YieldMax® AI &amp; Tech Portfolio</t>
  </si>
  <si>
    <t>YieldMax® Crypto Industry &amp; Tech</t>
  </si>
  <si>
    <t>YieldMax® Nasdaq 100 0DTE</t>
  </si>
  <si>
    <t>YieldMax® R2000 0DTE</t>
  </si>
  <si>
    <t>YieldMax® S&amp;P 500 0DTE</t>
  </si>
  <si>
    <r>
      <t>YieldMax® Ultra </t>
    </r>
    <r>
      <rPr>
        <i/>
        <sz val="10"/>
        <color rgb="FF35495E"/>
        <rFont val="Arial"/>
        <family val="2"/>
      </rPr>
      <t>Short</t>
    </r>
    <r>
      <rPr>
        <sz val="10"/>
        <color rgb="FF35495E"/>
        <rFont val="Arial"/>
        <family val="2"/>
      </rPr>
      <t> Option</t>
    </r>
  </si>
  <si>
    <t>YieldMax® Ultra Option Income</t>
  </si>
  <si>
    <t>YieldMax® Magnificent 7 Fund of</t>
  </si>
  <si>
    <t>YieldMax® Universe Fund of Option</t>
  </si>
  <si>
    <t>Overall TOTAL:</t>
  </si>
  <si>
    <r>
      <t>YieldMax</t>
    </r>
    <r>
      <rPr>
        <i/>
        <sz val="10"/>
        <color rgb="FF293849"/>
        <rFont val="Arial"/>
        <family val="2"/>
      </rPr>
      <t>Short</t>
    </r>
    <r>
      <rPr>
        <sz val="10"/>
        <color rgb="FF293849"/>
        <rFont val="Arial"/>
        <family val="2"/>
      </rPr>
      <t>MSTR Option Income Strategy ETF</t>
    </r>
  </si>
  <si>
    <t>USOY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</si>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</sst>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0">
    <font>
      <sz val="11"/>
      <color theme="1"/>
      <name val="Aptos Narrow"/>
      <family val="2"/>
      <scheme val="minor"/>
    </font>
    <font>
      <sz val="12"/>
      <color rgb="FF35495E"/>
      <name val="Arial"/>
      <family val="2"/>
    </font>
    <font>
      <sz val="9"/>
      <color rgb="FF35495E"/>
      <name val="Arial"/>
      <family val="2"/>
    </font>
    <font>
      <b/>
      <sz val="12"/>
      <color rgb="FF35495E"/>
      <name val="Arial"/>
      <family val="2"/>
    </font>
    <font>
      <i/>
      <sz val="12"/>
      <color rgb="FF35495E"/>
      <name val="Arial"/>
      <family val="2"/>
    </font>
    <font>
      <b/>
      <i/>
      <sz val="9"/>
      <color rgb="FF35495E"/>
      <name val="Arial"/>
      <family val="2"/>
    </font>
    <font>
      <b/>
      <sz val="10"/>
      <color theme="2"/>
      <name val="Arial"/>
      <family val="2"/>
    </font>
    <font>
      <sz val="10"/>
      <color theme="1"/>
      <name val="Arial"/>
      <family val="2"/>
    </font>
    <font>
      <b/>
      <sz val="10"/>
      <color rgb="FF293849"/>
      <name val="Arial"/>
      <family val="2"/>
    </font>
    <font>
      <b/>
      <i/>
      <vertAlign val="superscript"/>
      <sz val="10"/>
      <color rgb="FF293849"/>
      <name val="Arial"/>
      <family val="2"/>
    </font>
    <font>
      <b/>
      <i/>
      <sz val="10"/>
      <color rgb="FF293849"/>
      <name val="Arial"/>
      <family val="2"/>
    </font>
    <font>
      <b/>
      <u/>
      <sz val="10"/>
      <color rgb="FF293849"/>
      <name val="Arial"/>
      <family val="2"/>
    </font>
    <font>
      <sz val="10"/>
      <color rgb="FF293849"/>
      <name val="Arial"/>
      <family val="2"/>
    </font>
    <font>
      <i/>
      <sz val="10"/>
      <color rgb="FF293849"/>
      <name val="Arial"/>
      <family val="2"/>
    </font>
    <font>
      <b/>
      <sz val="10"/>
      <color theme="1"/>
      <name val="Arial"/>
      <family val="2"/>
    </font>
    <font>
      <b/>
      <sz val="10"/>
      <color rgb="FF35495E"/>
      <name val="Arial"/>
      <family val="2"/>
    </font>
    <font>
      <sz val="10"/>
      <color rgb="FF35495E"/>
      <name val="Arial"/>
      <family val="2"/>
    </font>
    <font>
      <i/>
      <sz val="10"/>
      <color rgb="FF35495E"/>
      <name val="Arial"/>
      <family val="2"/>
    </font>
    <font>
      <u/>
      <sz val="10"/>
      <color rgb="FF293849"/>
      <name val="Arial"/>
      <family val="2"/>
    </font>
    <font>
      <sz val="11"/>
      <color rgb="FF111111"/>
      <name val="Inte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8" fontId="1" fillId="10" borderId="1" xfId="0" applyNumberFormat="1" applyFont="1" applyFill="1" applyBorder="1" applyAlignment="1">
      <alignment horizontal="center" vertical="center" wrapText="1"/>
    </xf>
    <xf numFmtId="10" fontId="1" fillId="1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7" fillId="0" borderId="0" xfId="0" applyFont="1"/>
    <xf numFmtId="0" fontId="7" fillId="8" borderId="0" xfId="0" applyFont="1" applyFill="1"/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center" wrapText="1"/>
    </xf>
    <xf numFmtId="8" fontId="12" fillId="3" borderId="6" xfId="0" applyNumberFormat="1" applyFont="1" applyFill="1" applyBorder="1" applyAlignment="1">
      <alignment horizontal="center" vertical="center" wrapText="1"/>
    </xf>
    <xf numFmtId="10" fontId="12" fillId="3" borderId="6" xfId="0" applyNumberFormat="1" applyFont="1" applyFill="1" applyBorder="1" applyAlignment="1">
      <alignment horizontal="center" vertical="center" wrapText="1"/>
    </xf>
    <xf numFmtId="10" fontId="12" fillId="3" borderId="1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8" fontId="7" fillId="0" borderId="0" xfId="0" applyNumberFormat="1" applyFont="1" applyAlignment="1">
      <alignment horizontal="right" vertical="center"/>
    </xf>
    <xf numFmtId="0" fontId="12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8" fontId="12" fillId="4" borderId="6" xfId="0" applyNumberFormat="1" applyFont="1" applyFill="1" applyBorder="1" applyAlignment="1">
      <alignment horizontal="center" vertical="center" wrapText="1"/>
    </xf>
    <xf numFmtId="10" fontId="12" fillId="4" borderId="6" xfId="0" applyNumberFormat="1" applyFont="1" applyFill="1" applyBorder="1" applyAlignment="1">
      <alignment horizontal="center" vertical="center" wrapText="1"/>
    </xf>
    <xf numFmtId="10" fontId="12" fillId="4" borderId="1" xfId="0" applyNumberFormat="1" applyFont="1" applyFill="1" applyBorder="1" applyAlignment="1">
      <alignment horizontal="center" vertical="center" wrapText="1"/>
    </xf>
    <xf numFmtId="8" fontId="7" fillId="9" borderId="0" xfId="0" applyNumberFormat="1" applyFont="1" applyFill="1" applyAlignment="1">
      <alignment horizontal="righ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8" fontId="12" fillId="5" borderId="6" xfId="0" applyNumberFormat="1" applyFont="1" applyFill="1" applyBorder="1" applyAlignment="1">
      <alignment horizontal="center" vertical="center" wrapText="1"/>
    </xf>
    <xf numFmtId="10" fontId="12" fillId="5" borderId="6" xfId="0" applyNumberFormat="1" applyFont="1" applyFill="1" applyBorder="1" applyAlignment="1">
      <alignment horizontal="center" vertical="center" wrapText="1"/>
    </xf>
    <xf numFmtId="10" fontId="12" fillId="5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8" fontId="12" fillId="6" borderId="6" xfId="0" applyNumberFormat="1" applyFont="1" applyFill="1" applyBorder="1" applyAlignment="1">
      <alignment horizontal="center" vertical="center" wrapText="1"/>
    </xf>
    <xf numFmtId="10" fontId="12" fillId="6" borderId="6" xfId="0" applyNumberFormat="1" applyFont="1" applyFill="1" applyBorder="1" applyAlignment="1">
      <alignment horizontal="center" vertical="center" wrapText="1"/>
    </xf>
    <xf numFmtId="10" fontId="12" fillId="6" borderId="1" xfId="0" applyNumberFormat="1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vertical="center" wrapText="1"/>
    </xf>
    <xf numFmtId="8" fontId="16" fillId="10" borderId="1" xfId="0" applyNumberFormat="1" applyFont="1" applyFill="1" applyBorder="1" applyAlignment="1">
      <alignment horizontal="center" vertical="center" wrapText="1"/>
    </xf>
    <xf numFmtId="10" fontId="16" fillId="10" borderId="1" xfId="0" applyNumberFormat="1" applyFont="1" applyFill="1" applyBorder="1" applyAlignment="1">
      <alignment horizontal="center" vertical="center" wrapText="1"/>
    </xf>
    <xf numFmtId="8" fontId="7" fillId="0" borderId="0" xfId="0" applyNumberFormat="1" applyFont="1"/>
    <xf numFmtId="8" fontId="7" fillId="9" borderId="0" xfId="0" applyNumberFormat="1" applyFont="1" applyFill="1"/>
    <xf numFmtId="0" fontId="7" fillId="0" borderId="0" xfId="0" applyFont="1" applyAlignment="1">
      <alignment horizontal="center" vertical="center"/>
    </xf>
    <xf numFmtId="0" fontId="14" fillId="9" borderId="0" xfId="0" applyFont="1" applyFill="1" applyAlignment="1">
      <alignment horizontal="right" vertical="center"/>
    </xf>
    <xf numFmtId="164" fontId="14" fillId="9" borderId="0" xfId="0" applyNumberFormat="1" applyFont="1" applyFill="1"/>
    <xf numFmtId="1" fontId="12" fillId="0" borderId="0" xfId="0" applyNumberFormat="1" applyFont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0" borderId="0" xfId="0" applyFont="1"/>
    <xf numFmtId="8" fontId="19" fillId="0" borderId="0" xfId="0" applyNumberFormat="1" applyFont="1"/>
    <xf numFmtId="164" fontId="7" fillId="12" borderId="9" xfId="0" applyNumberFormat="1" applyFont="1" applyFill="1" applyBorder="1"/>
    <xf numFmtId="0" fontId="7" fillId="8" borderId="0" xfId="0" applyFont="1" applyFill="1"/>
    <xf numFmtId="0" fontId="6" fillId="11" borderId="1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/>
    <xf numFmtId="0" fontId="18" fillId="7" borderId="6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ABDD-EA19-4FC5-842B-9048A5FBD8C3}">
  <dimension ref="A1:J69"/>
  <sheetViews>
    <sheetView tabSelected="1" workbookViewId="0">
      <pane ySplit="3" topLeftCell="A43" activePane="bottomLeft" state="frozen"/>
      <selection pane="bottomLeft" activeCell="I18" sqref="I18"/>
    </sheetView>
  </sheetViews>
  <sheetFormatPr defaultColWidth="46.42578125" defaultRowHeight="12.75"/>
  <cols>
    <col min="1" max="1" width="7.5703125" style="52" bestFit="1" customWidth="1"/>
    <col min="2" max="2" width="46.85546875" style="7" customWidth="1"/>
    <col min="3" max="3" width="31.5703125" style="7" customWidth="1"/>
    <col min="4" max="4" width="21.140625" style="7" bestFit="1" customWidth="1"/>
    <col min="5" max="5" width="18.42578125" style="7" bestFit="1" customWidth="1"/>
    <col min="6" max="6" width="17.7109375" style="7" bestFit="1" customWidth="1"/>
    <col min="7" max="8" width="8.28515625" style="7" bestFit="1" customWidth="1"/>
    <col min="9" max="9" width="17.5703125" style="7" bestFit="1" customWidth="1"/>
    <col min="10" max="10" width="26.5703125" style="7" bestFit="1" customWidth="1"/>
    <col min="11" max="16384" width="46.42578125" style="7"/>
  </cols>
  <sheetData>
    <row r="1" spans="1:10" ht="15">
      <c r="A1" s="56" t="s">
        <v>122</v>
      </c>
      <c r="B1" s="57"/>
      <c r="C1" s="57"/>
      <c r="D1" s="57"/>
      <c r="E1" s="57"/>
      <c r="F1" s="57"/>
      <c r="G1" s="57"/>
      <c r="H1" s="57"/>
      <c r="I1" s="58"/>
      <c r="J1" s="58"/>
    </row>
    <row r="2" spans="1:10" ht="15.75" thickBot="1">
      <c r="A2" s="55"/>
      <c r="B2" s="59"/>
      <c r="C2" s="59"/>
      <c r="D2" s="59"/>
      <c r="E2" s="59"/>
      <c r="F2" s="59"/>
      <c r="G2" s="59"/>
      <c r="H2" s="59"/>
      <c r="I2" s="58"/>
      <c r="J2" s="58"/>
    </row>
    <row r="3" spans="1:10" ht="27.75" thickBot="1">
      <c r="A3" s="9" t="s">
        <v>124</v>
      </c>
      <c r="B3" s="9" t="s">
        <v>0</v>
      </c>
      <c r="C3" s="9" t="s">
        <v>1</v>
      </c>
      <c r="D3" s="10" t="s">
        <v>2</v>
      </c>
      <c r="E3" s="9" t="s">
        <v>125</v>
      </c>
      <c r="F3" s="9" t="s">
        <v>126</v>
      </c>
      <c r="G3" s="9" t="s">
        <v>127</v>
      </c>
      <c r="H3" s="8"/>
      <c r="I3" s="11" t="s">
        <v>83</v>
      </c>
      <c r="J3" s="11" t="s">
        <v>128</v>
      </c>
    </row>
    <row r="4" spans="1:10" ht="13.5" thickBot="1">
      <c r="A4" s="12" t="s">
        <v>20</v>
      </c>
      <c r="B4" s="18" t="s">
        <v>21</v>
      </c>
      <c r="C4" s="48" t="s">
        <v>5</v>
      </c>
      <c r="D4" s="13">
        <v>2.4794999999999998</v>
      </c>
      <c r="E4" s="14">
        <v>0.85450000000000004</v>
      </c>
      <c r="F4" s="14">
        <v>0</v>
      </c>
      <c r="G4" s="15">
        <v>0.98140000000000005</v>
      </c>
      <c r="H4" s="8"/>
      <c r="I4" s="16"/>
      <c r="J4" s="17">
        <f t="shared" ref="J4:J12" si="0">I4*D4</f>
        <v>0</v>
      </c>
    </row>
    <row r="5" spans="1:10" ht="13.5" thickBot="1">
      <c r="A5" s="12" t="s">
        <v>23</v>
      </c>
      <c r="B5" s="18" t="s">
        <v>24</v>
      </c>
      <c r="C5" s="48" t="s">
        <v>5</v>
      </c>
      <c r="D5" s="13">
        <v>1.3324</v>
      </c>
      <c r="E5" s="14">
        <v>0.46329999999999999</v>
      </c>
      <c r="F5" s="14">
        <v>3.1699999999999999E-2</v>
      </c>
      <c r="G5" s="15">
        <v>0.9294</v>
      </c>
      <c r="H5" s="8"/>
      <c r="I5" s="16"/>
      <c r="J5" s="17">
        <f t="shared" si="0"/>
        <v>0</v>
      </c>
    </row>
    <row r="6" spans="1:10" ht="13.5" thickBot="1">
      <c r="A6" s="12" t="s">
        <v>28</v>
      </c>
      <c r="B6" s="18" t="s">
        <v>29</v>
      </c>
      <c r="C6" s="48" t="s">
        <v>5</v>
      </c>
      <c r="D6" s="13">
        <v>1.5354000000000001</v>
      </c>
      <c r="E6" s="14">
        <v>0.52590000000000003</v>
      </c>
      <c r="F6" s="14">
        <v>3.1600000000000003E-2</v>
      </c>
      <c r="G6" s="15">
        <v>0.64329999999999998</v>
      </c>
      <c r="H6" s="8"/>
      <c r="I6" s="16"/>
      <c r="J6" s="17">
        <f t="shared" si="0"/>
        <v>0</v>
      </c>
    </row>
    <row r="7" spans="1:10" ht="13.5" thickBot="1">
      <c r="A7" s="12" t="s">
        <v>35</v>
      </c>
      <c r="B7" s="18" t="s">
        <v>36</v>
      </c>
      <c r="C7" s="48" t="s">
        <v>5</v>
      </c>
      <c r="D7" s="13">
        <v>2.2391000000000001</v>
      </c>
      <c r="E7" s="14">
        <v>0.59319999999999995</v>
      </c>
      <c r="F7" s="14">
        <v>0</v>
      </c>
      <c r="G7" s="15">
        <v>0.1767</v>
      </c>
      <c r="H7" s="8"/>
      <c r="I7" s="16"/>
      <c r="J7" s="17">
        <f t="shared" si="0"/>
        <v>0</v>
      </c>
    </row>
    <row r="8" spans="1:10" ht="13.5" thickBot="1">
      <c r="A8" s="12" t="s">
        <v>39</v>
      </c>
      <c r="B8" s="18" t="s">
        <v>40</v>
      </c>
      <c r="C8" s="48" t="s">
        <v>5</v>
      </c>
      <c r="D8" s="13">
        <v>2.0632000000000001</v>
      </c>
      <c r="E8" s="14">
        <v>0.74429999999999996</v>
      </c>
      <c r="F8" s="14">
        <v>0</v>
      </c>
      <c r="G8" s="15">
        <v>0.94679999999999997</v>
      </c>
      <c r="H8" s="8"/>
      <c r="I8" s="16"/>
      <c r="J8" s="17">
        <f t="shared" si="0"/>
        <v>0</v>
      </c>
    </row>
    <row r="9" spans="1:10" ht="13.5" thickBot="1">
      <c r="A9" s="12" t="s">
        <v>41</v>
      </c>
      <c r="B9" s="18" t="s">
        <v>42</v>
      </c>
      <c r="C9" s="48" t="s">
        <v>5</v>
      </c>
      <c r="D9" s="13">
        <v>5.9471999999999996</v>
      </c>
      <c r="E9" s="14">
        <v>1.0657000000000001</v>
      </c>
      <c r="F9" s="14">
        <v>1.77E-2</v>
      </c>
      <c r="G9" s="15">
        <v>0</v>
      </c>
      <c r="H9" s="8"/>
      <c r="I9" s="16"/>
      <c r="J9" s="17">
        <f t="shared" si="0"/>
        <v>0</v>
      </c>
    </row>
    <row r="10" spans="1:10" ht="13.5" thickBot="1">
      <c r="A10" s="12" t="s">
        <v>63</v>
      </c>
      <c r="B10" s="18" t="s">
        <v>64</v>
      </c>
      <c r="C10" s="48" t="s">
        <v>5</v>
      </c>
      <c r="D10" s="13">
        <v>1.0524</v>
      </c>
      <c r="E10" s="14">
        <v>0.54410000000000003</v>
      </c>
      <c r="F10" s="14">
        <v>2.4899999999999999E-2</v>
      </c>
      <c r="G10" s="15">
        <v>1</v>
      </c>
      <c r="H10" s="8"/>
      <c r="I10" s="16"/>
      <c r="J10" s="17">
        <f t="shared" si="0"/>
        <v>0</v>
      </c>
    </row>
    <row r="11" spans="1:10" ht="13.5" thickBot="1">
      <c r="A11" s="12" t="s">
        <v>65</v>
      </c>
      <c r="B11" s="18" t="s">
        <v>66</v>
      </c>
      <c r="C11" s="48" t="s">
        <v>5</v>
      </c>
      <c r="D11" s="13">
        <v>1.4260999999999999</v>
      </c>
      <c r="E11" s="14">
        <v>0.8921</v>
      </c>
      <c r="F11" s="14">
        <v>0</v>
      </c>
      <c r="G11" s="15">
        <v>0.40160000000000001</v>
      </c>
      <c r="H11" s="8"/>
      <c r="I11" s="16"/>
      <c r="J11" s="17">
        <f t="shared" si="0"/>
        <v>0</v>
      </c>
    </row>
    <row r="12" spans="1:10" ht="18" customHeight="1" thickBot="1">
      <c r="A12" s="12" t="s">
        <v>75</v>
      </c>
      <c r="B12" s="18" t="s">
        <v>144</v>
      </c>
      <c r="C12" s="48" t="s">
        <v>5</v>
      </c>
      <c r="D12" s="13">
        <v>1.4679</v>
      </c>
      <c r="E12" s="14">
        <v>0.79910000000000003</v>
      </c>
      <c r="F12" s="14">
        <v>2.58E-2</v>
      </c>
      <c r="G12" s="15">
        <v>0.97099999999999997</v>
      </c>
      <c r="H12" s="8"/>
      <c r="I12" s="16"/>
      <c r="J12" s="17">
        <f t="shared" si="0"/>
        <v>0</v>
      </c>
    </row>
    <row r="13" spans="1:10" ht="13.5" thickBot="1">
      <c r="A13" s="60"/>
      <c r="B13" s="61"/>
      <c r="C13" s="61"/>
      <c r="D13" s="61"/>
      <c r="E13" s="61"/>
      <c r="F13" s="61"/>
      <c r="G13" s="62"/>
      <c r="H13" s="8"/>
      <c r="I13" s="16"/>
      <c r="J13" s="17">
        <f t="shared" ref="J13:J23" si="1">I13*D13</f>
        <v>0</v>
      </c>
    </row>
    <row r="14" spans="1:10" ht="13.5" thickBot="1">
      <c r="A14" s="19" t="s">
        <v>8</v>
      </c>
      <c r="B14" s="20" t="s">
        <v>9</v>
      </c>
      <c r="C14" s="49" t="s">
        <v>5</v>
      </c>
      <c r="D14" s="21">
        <v>0.95020000000000004</v>
      </c>
      <c r="E14" s="22">
        <v>1.25</v>
      </c>
      <c r="F14" s="22">
        <v>2.01E-2</v>
      </c>
      <c r="G14" s="23">
        <v>0.98550000000000004</v>
      </c>
      <c r="H14" s="8"/>
      <c r="I14" s="16"/>
      <c r="J14" s="17">
        <f>I14*D14</f>
        <v>0</v>
      </c>
    </row>
    <row r="15" spans="1:10" ht="13.5" thickBot="1">
      <c r="A15" s="19" t="s">
        <v>51</v>
      </c>
      <c r="B15" s="20" t="s">
        <v>52</v>
      </c>
      <c r="C15" s="49" t="s">
        <v>5</v>
      </c>
      <c r="D15" s="21">
        <v>0.60740000000000005</v>
      </c>
      <c r="E15" s="22">
        <v>0.80269999999999997</v>
      </c>
      <c r="F15" s="22">
        <v>2.4799999999999999E-2</v>
      </c>
      <c r="G15" s="23">
        <v>0.95960000000000001</v>
      </c>
      <c r="H15" s="8"/>
      <c r="I15" s="16">
        <v>26</v>
      </c>
      <c r="J15" s="24">
        <f>I15*D15</f>
        <v>15.792400000000001</v>
      </c>
    </row>
    <row r="16" spans="1:10" ht="13.5" thickBot="1">
      <c r="A16" s="19" t="s">
        <v>59</v>
      </c>
      <c r="B16" s="20" t="s">
        <v>60</v>
      </c>
      <c r="C16" s="49" t="s">
        <v>5</v>
      </c>
      <c r="D16" s="21">
        <v>0.74070000000000003</v>
      </c>
      <c r="E16" s="22">
        <v>0.62460000000000004</v>
      </c>
      <c r="F16" s="22">
        <v>2.6499999999999999E-2</v>
      </c>
      <c r="G16" s="23">
        <v>0</v>
      </c>
      <c r="H16" s="8"/>
      <c r="I16" s="16">
        <v>25</v>
      </c>
      <c r="J16" s="24">
        <f>I16*D16</f>
        <v>18.517500000000002</v>
      </c>
    </row>
    <row r="17" spans="1:10" ht="13.5" thickBot="1">
      <c r="A17" s="19" t="s">
        <v>67</v>
      </c>
      <c r="B17" s="20" t="s">
        <v>68</v>
      </c>
      <c r="C17" s="49" t="s">
        <v>5</v>
      </c>
      <c r="D17" s="21">
        <v>0.80900000000000005</v>
      </c>
      <c r="E17" s="22">
        <v>0.84360000000000002</v>
      </c>
      <c r="F17" s="22">
        <v>2.6499999999999999E-2</v>
      </c>
      <c r="G17" s="23">
        <v>0.97309999999999997</v>
      </c>
      <c r="H17" s="8"/>
      <c r="I17" s="16">
        <v>275</v>
      </c>
      <c r="J17" s="24">
        <f>I17*D17</f>
        <v>222.47500000000002</v>
      </c>
    </row>
    <row r="18" spans="1:10" ht="13.5" thickBot="1">
      <c r="A18" s="60"/>
      <c r="B18" s="61"/>
      <c r="C18" s="61"/>
      <c r="D18" s="61"/>
      <c r="E18" s="61"/>
      <c r="F18" s="61"/>
      <c r="G18" s="62"/>
      <c r="H18" s="8"/>
      <c r="I18" s="16"/>
      <c r="J18" s="17">
        <f t="shared" si="1"/>
        <v>0</v>
      </c>
    </row>
    <row r="19" spans="1:10" ht="13.5" thickBot="1">
      <c r="A19" s="25" t="s">
        <v>18</v>
      </c>
      <c r="B19" s="26" t="s">
        <v>19</v>
      </c>
      <c r="C19" s="50" t="s">
        <v>5</v>
      </c>
      <c r="D19" s="27">
        <v>0.34620000000000001</v>
      </c>
      <c r="E19" s="28">
        <v>0.66</v>
      </c>
      <c r="F19" s="28">
        <v>2.9100000000000001E-2</v>
      </c>
      <c r="G19" s="29">
        <v>0</v>
      </c>
      <c r="H19" s="8"/>
      <c r="I19" s="16"/>
      <c r="J19" s="17">
        <f>I19*D19</f>
        <v>0</v>
      </c>
    </row>
    <row r="20" spans="1:10" ht="13.5" thickBot="1">
      <c r="A20" s="25" t="s">
        <v>45</v>
      </c>
      <c r="B20" s="26" t="s">
        <v>46</v>
      </c>
      <c r="C20" s="50" t="s">
        <v>5</v>
      </c>
      <c r="D20" s="27">
        <v>0.30399999999999999</v>
      </c>
      <c r="E20" s="28">
        <v>0.79269999999999996</v>
      </c>
      <c r="F20" s="28">
        <v>3.0499999999999999E-2</v>
      </c>
      <c r="G20" s="29">
        <v>0</v>
      </c>
      <c r="H20" s="8"/>
      <c r="I20" s="16"/>
      <c r="J20" s="17">
        <f>I20*D20</f>
        <v>0</v>
      </c>
    </row>
    <row r="21" spans="1:10" ht="13.5" thickBot="1">
      <c r="A21" s="25" t="s">
        <v>53</v>
      </c>
      <c r="B21" s="26" t="s">
        <v>54</v>
      </c>
      <c r="C21" s="50" t="s">
        <v>5</v>
      </c>
      <c r="D21" s="27">
        <v>0.3876</v>
      </c>
      <c r="E21" s="28">
        <v>0.30620000000000003</v>
      </c>
      <c r="F21" s="28">
        <v>3.1099999999999999E-2</v>
      </c>
      <c r="G21" s="29">
        <v>0.8931</v>
      </c>
      <c r="H21" s="8"/>
      <c r="I21" s="16"/>
      <c r="J21" s="17">
        <f>I21*D21</f>
        <v>0</v>
      </c>
    </row>
    <row r="22" spans="1:10" ht="13.5" thickBot="1">
      <c r="A22" s="25" t="s">
        <v>69</v>
      </c>
      <c r="B22" s="26" t="s">
        <v>70</v>
      </c>
      <c r="C22" s="50" t="s">
        <v>5</v>
      </c>
      <c r="D22" s="27">
        <v>0.38750000000000001</v>
      </c>
      <c r="E22" s="28">
        <v>0.65849999999999997</v>
      </c>
      <c r="F22" s="28">
        <v>3.0200000000000001E-2</v>
      </c>
      <c r="G22" s="29">
        <v>0.95369999999999999</v>
      </c>
      <c r="H22" s="8"/>
      <c r="I22" s="16">
        <v>120</v>
      </c>
      <c r="J22" s="24">
        <f>I22*D22</f>
        <v>46.5</v>
      </c>
    </row>
    <row r="23" spans="1:10" ht="13.5" thickBot="1">
      <c r="A23" s="60"/>
      <c r="B23" s="61"/>
      <c r="C23" s="61"/>
      <c r="D23" s="61"/>
      <c r="E23" s="61"/>
      <c r="F23" s="61"/>
      <c r="G23" s="62"/>
      <c r="H23" s="8"/>
      <c r="I23" s="16"/>
      <c r="J23" s="17">
        <f t="shared" si="1"/>
        <v>0</v>
      </c>
    </row>
    <row r="24" spans="1:10" ht="13.5" thickBot="1">
      <c r="A24" s="30" t="s">
        <v>3</v>
      </c>
      <c r="B24" s="31" t="s">
        <v>4</v>
      </c>
      <c r="C24" s="51" t="s">
        <v>5</v>
      </c>
      <c r="D24" s="32">
        <v>0.22</v>
      </c>
      <c r="E24" s="33">
        <v>0.29210000000000003</v>
      </c>
      <c r="F24" s="33">
        <v>2.9499999999999998E-2</v>
      </c>
      <c r="G24" s="34">
        <v>0.89170000000000005</v>
      </c>
      <c r="H24" s="8"/>
      <c r="I24" s="16"/>
      <c r="J24" s="17">
        <f t="shared" ref="J24:J48" si="2">I24*D24</f>
        <v>0</v>
      </c>
    </row>
    <row r="25" spans="1:10" ht="13.5" thickBot="1">
      <c r="A25" s="30" t="s">
        <v>6</v>
      </c>
      <c r="B25" s="31" t="s">
        <v>7</v>
      </c>
      <c r="C25" s="51" t="s">
        <v>5</v>
      </c>
      <c r="D25" s="32">
        <v>9.0300000000000005E-2</v>
      </c>
      <c r="E25" s="33">
        <v>0.56110000000000004</v>
      </c>
      <c r="F25" s="33">
        <v>3.8800000000000001E-2</v>
      </c>
      <c r="G25" s="34">
        <v>0.95030000000000003</v>
      </c>
      <c r="H25" s="8"/>
      <c r="I25" s="46">
        <v>26</v>
      </c>
      <c r="J25" s="24">
        <f t="shared" si="2"/>
        <v>2.3478000000000003</v>
      </c>
    </row>
    <row r="26" spans="1:10" ht="13.5" thickBot="1">
      <c r="A26" s="30" t="s">
        <v>10</v>
      </c>
      <c r="B26" s="31" t="s">
        <v>11</v>
      </c>
      <c r="C26" s="51" t="s">
        <v>5</v>
      </c>
      <c r="D26" s="32">
        <v>0.255</v>
      </c>
      <c r="E26" s="33">
        <v>0.30630000000000002</v>
      </c>
      <c r="F26" s="33">
        <v>2.9899999999999999E-2</v>
      </c>
      <c r="G26" s="34">
        <v>0.14710000000000001</v>
      </c>
      <c r="H26" s="8"/>
      <c r="I26" s="16"/>
      <c r="J26" s="17">
        <f t="shared" si="2"/>
        <v>0</v>
      </c>
    </row>
    <row r="27" spans="1:10" ht="13.5" thickBot="1">
      <c r="A27" s="30" t="s">
        <v>12</v>
      </c>
      <c r="B27" s="31" t="s">
        <v>13</v>
      </c>
      <c r="C27" s="51" t="s">
        <v>5</v>
      </c>
      <c r="D27" s="32">
        <v>0.17599999999999999</v>
      </c>
      <c r="E27" s="33">
        <v>0.22370000000000001</v>
      </c>
      <c r="F27" s="33">
        <v>2.6100000000000002E-2</v>
      </c>
      <c r="G27" s="34">
        <v>0</v>
      </c>
      <c r="H27" s="8"/>
      <c r="I27" s="16"/>
      <c r="J27" s="17">
        <f t="shared" si="2"/>
        <v>0</v>
      </c>
    </row>
    <row r="28" spans="1:10" ht="13.5" thickBot="1">
      <c r="A28" s="30" t="s">
        <v>14</v>
      </c>
      <c r="B28" s="31" t="s">
        <v>15</v>
      </c>
      <c r="C28" s="51" t="s">
        <v>5</v>
      </c>
      <c r="D28" s="32">
        <v>0.13500000000000001</v>
      </c>
      <c r="E28" s="33">
        <v>0.44769999999999999</v>
      </c>
      <c r="F28" s="33">
        <v>1.7899999999999999E-2</v>
      </c>
      <c r="G28" s="34">
        <v>0</v>
      </c>
      <c r="H28" s="8"/>
      <c r="I28" s="16"/>
      <c r="J28" s="17">
        <f t="shared" si="2"/>
        <v>0</v>
      </c>
    </row>
    <row r="29" spans="1:10" ht="13.5" thickBot="1">
      <c r="A29" s="30" t="s">
        <v>16</v>
      </c>
      <c r="B29" s="31" t="s">
        <v>17</v>
      </c>
      <c r="C29" s="51" t="s">
        <v>5</v>
      </c>
      <c r="D29" s="32">
        <v>0.28589999999999999</v>
      </c>
      <c r="E29" s="33">
        <v>0.15670000000000001</v>
      </c>
      <c r="F29" s="33">
        <v>2.64E-2</v>
      </c>
      <c r="G29" s="34">
        <v>0</v>
      </c>
      <c r="H29" s="8"/>
      <c r="I29" s="16"/>
      <c r="J29" s="17">
        <f t="shared" si="2"/>
        <v>0</v>
      </c>
    </row>
    <row r="30" spans="1:10" ht="13.5" thickBot="1">
      <c r="A30" s="30" t="s">
        <v>22</v>
      </c>
      <c r="B30" s="31" t="s">
        <v>131</v>
      </c>
      <c r="C30" s="51" t="s">
        <v>5</v>
      </c>
      <c r="D30" s="32">
        <v>8.7900000000000006E-2</v>
      </c>
      <c r="E30" s="33">
        <v>0.74419999999999997</v>
      </c>
      <c r="F30" s="33">
        <v>3.8100000000000002E-2</v>
      </c>
      <c r="G30" s="34">
        <v>0.39660000000000001</v>
      </c>
      <c r="H30" s="8"/>
      <c r="I30" s="16"/>
      <c r="J30" s="17">
        <f t="shared" si="2"/>
        <v>0</v>
      </c>
    </row>
    <row r="31" spans="1:10" ht="13.5" thickBot="1">
      <c r="A31" s="30" t="s">
        <v>25</v>
      </c>
      <c r="B31" s="31" t="s">
        <v>132</v>
      </c>
      <c r="C31" s="51" t="s">
        <v>5</v>
      </c>
      <c r="D31" s="32">
        <v>5.8799999999999998E-2</v>
      </c>
      <c r="E31" s="33">
        <v>0.52139999999999997</v>
      </c>
      <c r="F31" s="33">
        <v>3.4000000000000002E-2</v>
      </c>
      <c r="G31" s="34">
        <v>0.31580000000000003</v>
      </c>
      <c r="H31" s="8"/>
      <c r="I31" s="16">
        <v>181</v>
      </c>
      <c r="J31" s="24">
        <f t="shared" si="2"/>
        <v>10.642799999999999</v>
      </c>
    </row>
    <row r="32" spans="1:10" ht="13.5" thickBot="1">
      <c r="A32" s="30" t="s">
        <v>26</v>
      </c>
      <c r="B32" s="31" t="s">
        <v>27</v>
      </c>
      <c r="C32" s="51" t="s">
        <v>5</v>
      </c>
      <c r="D32" s="32">
        <v>0.1736</v>
      </c>
      <c r="E32" s="33">
        <v>0.23400000000000001</v>
      </c>
      <c r="F32" s="33">
        <v>3.1E-2</v>
      </c>
      <c r="G32" s="34">
        <v>0.41909999999999997</v>
      </c>
      <c r="H32" s="8"/>
      <c r="I32" s="16"/>
      <c r="J32" s="17">
        <f t="shared" si="2"/>
        <v>0</v>
      </c>
    </row>
    <row r="33" spans="1:10" ht="13.5" thickBot="1">
      <c r="A33" s="30" t="s">
        <v>30</v>
      </c>
      <c r="B33" s="31" t="s">
        <v>31</v>
      </c>
      <c r="C33" s="51" t="s">
        <v>5</v>
      </c>
      <c r="D33" s="32">
        <v>9.5399999999999999E-2</v>
      </c>
      <c r="E33" s="33">
        <v>0.33029999999999998</v>
      </c>
      <c r="F33" s="33">
        <v>2.5600000000000001E-2</v>
      </c>
      <c r="G33" s="34">
        <v>0</v>
      </c>
      <c r="H33" s="8"/>
      <c r="I33" s="16"/>
      <c r="J33" s="17">
        <f t="shared" si="2"/>
        <v>0</v>
      </c>
    </row>
    <row r="34" spans="1:10" ht="13.5" thickBot="1">
      <c r="A34" s="30" t="s">
        <v>32</v>
      </c>
      <c r="B34" s="31" t="s">
        <v>130</v>
      </c>
      <c r="C34" s="51" t="s">
        <v>5</v>
      </c>
      <c r="D34" s="32">
        <v>0.1118</v>
      </c>
      <c r="E34" s="33">
        <v>0.55210000000000004</v>
      </c>
      <c r="F34" s="33">
        <v>3.0300000000000001E-2</v>
      </c>
      <c r="G34" s="34">
        <v>0.94299999999999995</v>
      </c>
      <c r="H34" s="8"/>
      <c r="I34" s="16">
        <v>131</v>
      </c>
      <c r="J34" s="24">
        <f t="shared" si="2"/>
        <v>14.645799999999999</v>
      </c>
    </row>
    <row r="35" spans="1:10" ht="13.5" thickBot="1">
      <c r="A35" s="30" t="s">
        <v>33</v>
      </c>
      <c r="B35" s="31" t="s">
        <v>34</v>
      </c>
      <c r="C35" s="51" t="s">
        <v>5</v>
      </c>
      <c r="D35" s="32">
        <v>0.1134</v>
      </c>
      <c r="E35" s="33">
        <v>0.34289999999999998</v>
      </c>
      <c r="F35" s="33">
        <v>2.0400000000000001E-2</v>
      </c>
      <c r="G35" s="34">
        <v>0.93520000000000003</v>
      </c>
      <c r="H35" s="8"/>
      <c r="I35" s="16"/>
      <c r="J35" s="17">
        <f t="shared" si="2"/>
        <v>0</v>
      </c>
    </row>
    <row r="36" spans="1:10" ht="13.5" thickBot="1">
      <c r="A36" s="30" t="s">
        <v>37</v>
      </c>
      <c r="B36" s="31" t="s">
        <v>38</v>
      </c>
      <c r="C36" s="51" t="s">
        <v>5</v>
      </c>
      <c r="D36" s="32">
        <v>0.16350000000000001</v>
      </c>
      <c r="E36" s="33">
        <v>0.31080000000000002</v>
      </c>
      <c r="F36" s="33">
        <v>2.5499999999999998E-2</v>
      </c>
      <c r="G36" s="34">
        <v>0</v>
      </c>
      <c r="H36" s="8"/>
      <c r="I36" s="16"/>
      <c r="J36" s="17">
        <f t="shared" si="2"/>
        <v>0</v>
      </c>
    </row>
    <row r="37" spans="1:10" ht="13.5" thickBot="1">
      <c r="A37" s="30" t="s">
        <v>43</v>
      </c>
      <c r="B37" s="31" t="s">
        <v>44</v>
      </c>
      <c r="C37" s="51" t="s">
        <v>5</v>
      </c>
      <c r="D37" s="32">
        <v>5.7099999999999998E-2</v>
      </c>
      <c r="E37" s="33">
        <v>0.1804</v>
      </c>
      <c r="F37" s="33">
        <v>2.0899999999999998E-2</v>
      </c>
      <c r="G37" s="34">
        <v>0</v>
      </c>
      <c r="H37" s="8"/>
      <c r="I37" s="16">
        <v>26</v>
      </c>
      <c r="J37" s="24">
        <f t="shared" si="2"/>
        <v>1.4845999999999999</v>
      </c>
    </row>
    <row r="38" spans="1:10" ht="13.5" thickBot="1">
      <c r="A38" s="30" t="s">
        <v>47</v>
      </c>
      <c r="B38" s="31" t="s">
        <v>48</v>
      </c>
      <c r="C38" s="51" t="s">
        <v>5</v>
      </c>
      <c r="D38" s="32">
        <v>2.2100000000000002E-2</v>
      </c>
      <c r="E38" s="33">
        <v>0.68859999999999999</v>
      </c>
      <c r="F38" s="33">
        <v>3.1800000000000002E-2</v>
      </c>
      <c r="G38" s="34">
        <v>0</v>
      </c>
      <c r="H38" s="8"/>
      <c r="I38" s="16"/>
      <c r="J38" s="17">
        <f t="shared" si="2"/>
        <v>0</v>
      </c>
    </row>
    <row r="39" spans="1:10" ht="13.5" thickBot="1">
      <c r="A39" s="30" t="s">
        <v>49</v>
      </c>
      <c r="B39" s="31" t="s">
        <v>50</v>
      </c>
      <c r="C39" s="51" t="s">
        <v>5</v>
      </c>
      <c r="D39" s="32">
        <v>0.27150000000000002</v>
      </c>
      <c r="E39" s="33">
        <v>0.2029</v>
      </c>
      <c r="F39" s="33">
        <v>2.8199999999999999E-2</v>
      </c>
      <c r="G39" s="34">
        <v>0.85919999999999996</v>
      </c>
      <c r="H39" s="8"/>
      <c r="I39" s="16"/>
      <c r="J39" s="17">
        <f t="shared" si="2"/>
        <v>0</v>
      </c>
    </row>
    <row r="40" spans="1:10" ht="13.5" thickBot="1">
      <c r="A40" s="30" t="s">
        <v>55</v>
      </c>
      <c r="B40" s="31" t="s">
        <v>56</v>
      </c>
      <c r="C40" s="51" t="s">
        <v>5</v>
      </c>
      <c r="D40" s="32">
        <v>0.1094</v>
      </c>
      <c r="E40" s="33">
        <v>0.36620000000000003</v>
      </c>
      <c r="F40" s="33">
        <v>2.29E-2</v>
      </c>
      <c r="G40" s="34">
        <v>0</v>
      </c>
      <c r="H40" s="8"/>
      <c r="I40" s="16">
        <v>26</v>
      </c>
      <c r="J40" s="24">
        <f t="shared" si="2"/>
        <v>2.8443999999999998</v>
      </c>
    </row>
    <row r="41" spans="1:10" ht="13.5" thickBot="1">
      <c r="A41" s="30" t="s">
        <v>57</v>
      </c>
      <c r="B41" s="31" t="s">
        <v>58</v>
      </c>
      <c r="C41" s="51" t="s">
        <v>5</v>
      </c>
      <c r="D41" s="32">
        <v>0.2137</v>
      </c>
      <c r="E41" s="33">
        <v>0.61819999999999997</v>
      </c>
      <c r="F41" s="33">
        <v>2.3900000000000001E-2</v>
      </c>
      <c r="G41" s="34">
        <v>0.96209999999999996</v>
      </c>
      <c r="H41" s="8"/>
      <c r="I41" s="16"/>
      <c r="J41" s="17">
        <f t="shared" si="2"/>
        <v>0</v>
      </c>
    </row>
    <row r="42" spans="1:10" ht="13.5" thickBot="1">
      <c r="A42" s="30" t="s">
        <v>61</v>
      </c>
      <c r="B42" s="31" t="s">
        <v>62</v>
      </c>
      <c r="C42" s="51" t="s">
        <v>5</v>
      </c>
      <c r="D42" s="32">
        <v>0.28249999999999997</v>
      </c>
      <c r="E42" s="33">
        <v>0.34289999999999998</v>
      </c>
      <c r="F42" s="33">
        <v>3.5299999999999998E-2</v>
      </c>
      <c r="G42" s="34">
        <v>0.92159999999999997</v>
      </c>
      <c r="H42" s="8"/>
      <c r="I42" s="16"/>
      <c r="J42" s="17">
        <f t="shared" si="2"/>
        <v>0</v>
      </c>
    </row>
    <row r="43" spans="1:10" ht="13.5" thickBot="1">
      <c r="A43" s="30" t="s">
        <v>71</v>
      </c>
      <c r="B43" s="31" t="s">
        <v>72</v>
      </c>
      <c r="C43" s="51" t="s">
        <v>5</v>
      </c>
      <c r="D43" s="32">
        <v>0.1938</v>
      </c>
      <c r="E43" s="33">
        <v>0.60170000000000001</v>
      </c>
      <c r="F43" s="33">
        <v>2.4799999999999999E-2</v>
      </c>
      <c r="G43" s="34">
        <v>1</v>
      </c>
      <c r="H43" s="8"/>
      <c r="I43" s="47"/>
      <c r="J43" s="17">
        <f t="shared" si="2"/>
        <v>0</v>
      </c>
    </row>
    <row r="44" spans="1:10" ht="13.5" thickBot="1">
      <c r="A44" s="30" t="s">
        <v>73</v>
      </c>
      <c r="B44" s="31" t="s">
        <v>74</v>
      </c>
      <c r="C44" s="51" t="s">
        <v>5</v>
      </c>
      <c r="D44" s="32">
        <v>0.22889999999999999</v>
      </c>
      <c r="E44" s="33">
        <v>0.35320000000000001</v>
      </c>
      <c r="F44" s="33">
        <v>2.01E-2</v>
      </c>
      <c r="G44" s="34">
        <v>0</v>
      </c>
      <c r="H44" s="8"/>
      <c r="I44" s="16"/>
      <c r="J44" s="17">
        <f t="shared" si="2"/>
        <v>0</v>
      </c>
    </row>
    <row r="45" spans="1:10" ht="13.5" thickBot="1">
      <c r="A45" s="30" t="s">
        <v>76</v>
      </c>
      <c r="B45" s="31" t="s">
        <v>77</v>
      </c>
      <c r="C45" s="51" t="s">
        <v>5</v>
      </c>
      <c r="D45" s="32">
        <v>9.0300000000000005E-2</v>
      </c>
      <c r="E45" s="33">
        <v>0.20030000000000001</v>
      </c>
      <c r="F45" s="33">
        <v>2.93E-2</v>
      </c>
      <c r="G45" s="34">
        <v>0</v>
      </c>
      <c r="H45" s="8"/>
      <c r="I45" s="16"/>
      <c r="J45" s="17">
        <f t="shared" si="2"/>
        <v>0</v>
      </c>
    </row>
    <row r="46" spans="1:10" ht="13.5" thickBot="1">
      <c r="A46" s="30" t="s">
        <v>78</v>
      </c>
      <c r="B46" s="31" t="s">
        <v>79</v>
      </c>
      <c r="C46" s="51" t="s">
        <v>5</v>
      </c>
      <c r="D46" s="32">
        <v>0.21809999999999999</v>
      </c>
      <c r="E46" s="33">
        <v>0.4103</v>
      </c>
      <c r="F46" s="33">
        <v>3.3500000000000002E-2</v>
      </c>
      <c r="G46" s="34">
        <v>0.93679999999999997</v>
      </c>
      <c r="H46" s="8"/>
      <c r="I46" s="16"/>
      <c r="J46" s="17">
        <f t="shared" si="2"/>
        <v>0</v>
      </c>
    </row>
    <row r="47" spans="1:10" ht="13.5" thickBot="1">
      <c r="A47" s="30" t="s">
        <v>80</v>
      </c>
      <c r="B47" s="31" t="s">
        <v>81</v>
      </c>
      <c r="C47" s="51" t="s">
        <v>5</v>
      </c>
      <c r="D47" s="32">
        <v>0.24460000000000001</v>
      </c>
      <c r="E47" s="33">
        <v>0.67449999999999999</v>
      </c>
      <c r="F47" s="33">
        <v>1.11E-2</v>
      </c>
      <c r="G47" s="34">
        <v>0.94640000000000002</v>
      </c>
      <c r="H47" s="8"/>
      <c r="I47" s="16">
        <v>51</v>
      </c>
      <c r="J47" s="24">
        <f t="shared" si="2"/>
        <v>12.474600000000001</v>
      </c>
    </row>
    <row r="48" spans="1:10" ht="13.5" thickBot="1">
      <c r="A48" s="30" t="s">
        <v>82</v>
      </c>
      <c r="B48" s="31" t="s">
        <v>129</v>
      </c>
      <c r="C48" s="51" t="s">
        <v>5</v>
      </c>
      <c r="D48" s="32">
        <v>0.126</v>
      </c>
      <c r="E48" s="33">
        <v>0.16650000000000001</v>
      </c>
      <c r="F48" s="33">
        <v>3.4000000000000002E-2</v>
      </c>
      <c r="G48" s="34">
        <v>0.83399999999999996</v>
      </c>
      <c r="H48" s="8"/>
      <c r="I48" s="16"/>
      <c r="J48" s="17">
        <f t="shared" si="2"/>
        <v>0</v>
      </c>
    </row>
    <row r="49" spans="1:10">
      <c r="A49" s="55"/>
      <c r="B49" s="55"/>
      <c r="C49" s="55"/>
      <c r="D49" s="55"/>
      <c r="E49" s="55"/>
      <c r="F49" s="55"/>
      <c r="G49" s="55"/>
      <c r="H49" s="55"/>
      <c r="I49" s="35" t="s">
        <v>84</v>
      </c>
      <c r="J49" s="54">
        <f>SUM(J4:J48)</f>
        <v>347.72490000000005</v>
      </c>
    </row>
    <row r="51" spans="1:10" ht="15.75" thickBot="1">
      <c r="A51" s="56" t="s">
        <v>123</v>
      </c>
      <c r="B51" s="57"/>
      <c r="C51" s="57"/>
      <c r="D51" s="57"/>
      <c r="E51" s="57"/>
      <c r="F51" s="57"/>
      <c r="G51" s="57"/>
      <c r="H51" s="57"/>
      <c r="I51" s="58"/>
      <c r="J51" s="58"/>
    </row>
    <row r="52" spans="1:10" ht="13.5" thickBot="1">
      <c r="A52" s="36" t="s">
        <v>85</v>
      </c>
      <c r="B52" s="37" t="s">
        <v>87</v>
      </c>
      <c r="C52" s="38" t="s">
        <v>133</v>
      </c>
      <c r="D52" s="37" t="s">
        <v>5</v>
      </c>
      <c r="E52" s="39">
        <v>0.40660000000000002</v>
      </c>
      <c r="F52" s="40">
        <v>0.37</v>
      </c>
      <c r="G52" s="40">
        <v>0</v>
      </c>
      <c r="H52" s="40">
        <v>1</v>
      </c>
      <c r="I52" s="43"/>
      <c r="J52" s="41">
        <f t="shared" ref="J52:J61" si="3">I52*E52</f>
        <v>0</v>
      </c>
    </row>
    <row r="53" spans="1:10" ht="13.5" thickBot="1">
      <c r="A53" s="36" t="s">
        <v>88</v>
      </c>
      <c r="B53" s="37" t="s">
        <v>90</v>
      </c>
      <c r="C53" s="38" t="s">
        <v>89</v>
      </c>
      <c r="D53" s="37" t="s">
        <v>5</v>
      </c>
      <c r="E53" s="39">
        <v>0</v>
      </c>
      <c r="F53" s="40">
        <v>0</v>
      </c>
      <c r="G53" s="40">
        <v>0.96530000000000005</v>
      </c>
      <c r="H53" s="40">
        <v>0</v>
      </c>
      <c r="I53" s="43"/>
      <c r="J53" s="41">
        <f t="shared" si="3"/>
        <v>0</v>
      </c>
    </row>
    <row r="54" spans="1:10" ht="13.5" thickBot="1">
      <c r="A54" s="36" t="s">
        <v>91</v>
      </c>
      <c r="B54" s="37" t="s">
        <v>90</v>
      </c>
      <c r="C54" s="38" t="s">
        <v>92</v>
      </c>
      <c r="D54" s="37" t="s">
        <v>5</v>
      </c>
      <c r="E54" s="39">
        <v>0</v>
      </c>
      <c r="F54" s="40">
        <v>0</v>
      </c>
      <c r="G54" s="40">
        <v>0.55689999999999995</v>
      </c>
      <c r="H54" s="40">
        <v>0</v>
      </c>
      <c r="I54" s="43"/>
      <c r="J54" s="41">
        <f t="shared" si="3"/>
        <v>0</v>
      </c>
    </row>
    <row r="55" spans="1:10" ht="13.5" thickBot="1">
      <c r="A55" s="36" t="s">
        <v>93</v>
      </c>
      <c r="B55" s="37" t="s">
        <v>87</v>
      </c>
      <c r="C55" s="38" t="s">
        <v>134</v>
      </c>
      <c r="D55" s="37" t="s">
        <v>5</v>
      </c>
      <c r="E55" s="39">
        <v>0.31440000000000001</v>
      </c>
      <c r="F55" s="40">
        <v>0.34200000000000003</v>
      </c>
      <c r="G55" s="40">
        <v>0</v>
      </c>
      <c r="H55" s="40">
        <v>1</v>
      </c>
      <c r="I55" s="43"/>
      <c r="J55" s="41">
        <f t="shared" si="3"/>
        <v>0</v>
      </c>
    </row>
    <row r="56" spans="1:10" ht="13.5" thickBot="1">
      <c r="A56" s="36" t="s">
        <v>95</v>
      </c>
      <c r="B56" s="37" t="s">
        <v>87</v>
      </c>
      <c r="C56" s="38" t="s">
        <v>135</v>
      </c>
      <c r="D56" s="37" t="s">
        <v>5</v>
      </c>
      <c r="E56" s="39">
        <v>0.58309999999999995</v>
      </c>
      <c r="F56" s="40">
        <v>0.80410000000000004</v>
      </c>
      <c r="G56" s="40">
        <v>0</v>
      </c>
      <c r="H56" s="40">
        <v>1</v>
      </c>
      <c r="I56" s="43">
        <v>26</v>
      </c>
      <c r="J56" s="42">
        <f t="shared" si="3"/>
        <v>15.160599999999999</v>
      </c>
    </row>
    <row r="57" spans="1:10" ht="13.5" thickBot="1">
      <c r="A57" s="36" t="s">
        <v>97</v>
      </c>
      <c r="B57" s="37" t="s">
        <v>115</v>
      </c>
      <c r="C57" s="38" t="s">
        <v>136</v>
      </c>
      <c r="D57" s="37" t="s">
        <v>5</v>
      </c>
      <c r="E57" s="39">
        <v>0.2457</v>
      </c>
      <c r="F57" s="40">
        <v>0.28520000000000001</v>
      </c>
      <c r="G57" s="40">
        <v>0</v>
      </c>
      <c r="H57" s="40">
        <v>1</v>
      </c>
      <c r="I57" s="43"/>
      <c r="J57" s="41">
        <f t="shared" si="3"/>
        <v>0</v>
      </c>
    </row>
    <row r="58" spans="1:10" ht="13.5" thickBot="1">
      <c r="A58" s="36" t="s">
        <v>99</v>
      </c>
      <c r="B58" s="37" t="s">
        <v>100</v>
      </c>
      <c r="C58" s="38" t="s">
        <v>137</v>
      </c>
      <c r="D58" s="37" t="s">
        <v>5</v>
      </c>
      <c r="E58" s="39">
        <v>0.2641</v>
      </c>
      <c r="F58" s="40">
        <v>0.30830000000000002</v>
      </c>
      <c r="G58" s="40">
        <v>0</v>
      </c>
      <c r="H58" s="40">
        <v>0.6129</v>
      </c>
      <c r="I58" s="43"/>
      <c r="J58" s="41">
        <f t="shared" si="3"/>
        <v>0</v>
      </c>
    </row>
    <row r="59" spans="1:10" ht="13.5" thickBot="1">
      <c r="A59" s="36" t="s">
        <v>101</v>
      </c>
      <c r="B59" s="37" t="s">
        <v>100</v>
      </c>
      <c r="C59" s="38" t="s">
        <v>138</v>
      </c>
      <c r="D59" s="37" t="s">
        <v>5</v>
      </c>
      <c r="E59" s="39">
        <v>0.14069999999999999</v>
      </c>
      <c r="F59" s="40">
        <v>0.16220000000000001</v>
      </c>
      <c r="G59" s="40">
        <v>0</v>
      </c>
      <c r="H59" s="40">
        <v>0.83860000000000001</v>
      </c>
      <c r="I59" s="43">
        <v>26</v>
      </c>
      <c r="J59" s="42">
        <f t="shared" si="3"/>
        <v>3.6581999999999999</v>
      </c>
    </row>
    <row r="60" spans="1:10" ht="13.5" thickBot="1">
      <c r="A60" s="36" t="s">
        <v>102</v>
      </c>
      <c r="B60" s="37" t="s">
        <v>104</v>
      </c>
      <c r="C60" s="38" t="s">
        <v>139</v>
      </c>
      <c r="D60" s="37" t="s">
        <v>5</v>
      </c>
      <c r="E60" s="39">
        <v>0.46100000000000002</v>
      </c>
      <c r="F60" s="40">
        <v>0.60929999999999995</v>
      </c>
      <c r="G60" s="40">
        <v>2.5600000000000001E-2</v>
      </c>
      <c r="H60" s="40">
        <v>0.96660000000000001</v>
      </c>
      <c r="I60" s="43"/>
      <c r="J60" s="41">
        <f t="shared" si="3"/>
        <v>0</v>
      </c>
    </row>
    <row r="61" spans="1:10" ht="13.5" thickBot="1">
      <c r="A61" s="36" t="s">
        <v>105</v>
      </c>
      <c r="B61" s="37" t="s">
        <v>107</v>
      </c>
      <c r="C61" s="38" t="s">
        <v>140</v>
      </c>
      <c r="D61" s="37" t="s">
        <v>5</v>
      </c>
      <c r="E61" s="39">
        <v>9.0800000000000006E-2</v>
      </c>
      <c r="F61" s="40">
        <v>0.871</v>
      </c>
      <c r="G61" s="40">
        <v>0</v>
      </c>
      <c r="H61" s="40">
        <v>1</v>
      </c>
      <c r="I61" s="43"/>
      <c r="J61" s="41">
        <f t="shared" si="3"/>
        <v>0</v>
      </c>
    </row>
    <row r="62" spans="1:10" ht="13.5" thickBot="1">
      <c r="A62" s="36" t="s">
        <v>145</v>
      </c>
      <c r="B62" s="37" t="s">
        <v>113</v>
      </c>
      <c r="C62" s="38" t="s">
        <v>140</v>
      </c>
      <c r="D62" s="37" t="s">
        <v>5</v>
      </c>
      <c r="E62" s="39">
        <v>0.08</v>
      </c>
      <c r="F62" s="40">
        <v>0.61260000000000003</v>
      </c>
      <c r="G62" s="40">
        <v>2.86E-2</v>
      </c>
      <c r="H62" s="40" t="s">
        <v>146</v>
      </c>
      <c r="I62" s="43">
        <v>42</v>
      </c>
      <c r="J62" s="42">
        <f t="shared" ref="J62:J64" si="4">I62*E62</f>
        <v>3.36</v>
      </c>
    </row>
    <row r="63" spans="1:10" ht="13.5" thickBot="1">
      <c r="A63" s="36" t="s">
        <v>108</v>
      </c>
      <c r="B63" s="37" t="s">
        <v>110</v>
      </c>
      <c r="C63" s="38" t="s">
        <v>141</v>
      </c>
      <c r="D63" s="37" t="s">
        <v>5</v>
      </c>
      <c r="E63" s="39">
        <v>0.2009</v>
      </c>
      <c r="F63" s="40">
        <v>0.68120000000000003</v>
      </c>
      <c r="G63" s="40">
        <v>0.59450000000000003</v>
      </c>
      <c r="H63" s="40">
        <v>0.83050000000000002</v>
      </c>
      <c r="I63" s="43"/>
      <c r="J63" s="41">
        <f t="shared" si="4"/>
        <v>0</v>
      </c>
    </row>
    <row r="64" spans="1:10" ht="13.5" thickBot="1">
      <c r="A64" s="36" t="s">
        <v>111</v>
      </c>
      <c r="B64" s="37" t="s">
        <v>113</v>
      </c>
      <c r="C64" s="38" t="s">
        <v>142</v>
      </c>
      <c r="D64" s="37" t="s">
        <v>5</v>
      </c>
      <c r="E64" s="39">
        <v>0.17430000000000001</v>
      </c>
      <c r="F64" s="40">
        <v>0.71489999999999998</v>
      </c>
      <c r="G64" s="40">
        <v>0.82779999999999998</v>
      </c>
      <c r="H64" s="40">
        <v>0.60550000000000004</v>
      </c>
      <c r="I64" s="43"/>
      <c r="J64" s="41">
        <f t="shared" si="4"/>
        <v>0</v>
      </c>
    </row>
    <row r="65" spans="1:10">
      <c r="A65" s="55"/>
      <c r="B65" s="55"/>
      <c r="C65" s="55"/>
      <c r="D65" s="55"/>
      <c r="E65" s="55"/>
      <c r="F65" s="55"/>
      <c r="G65" s="55"/>
      <c r="H65" s="55"/>
      <c r="I65" s="35" t="s">
        <v>84</v>
      </c>
      <c r="J65" s="54">
        <f>SUM(J52:J64)</f>
        <v>22.178799999999999</v>
      </c>
    </row>
    <row r="68" spans="1:10">
      <c r="I68" s="44" t="s">
        <v>143</v>
      </c>
      <c r="J68" s="45">
        <f>J49+J65</f>
        <v>369.90370000000007</v>
      </c>
    </row>
    <row r="69" spans="1:10" ht="14.25">
      <c r="E69" s="53"/>
    </row>
  </sheetData>
  <sortState xmlns:xlrd2="http://schemas.microsoft.com/office/spreadsheetml/2017/richdata2" ref="A52:J64">
    <sortCondition ref="A52:A64"/>
  </sortState>
  <mergeCells count="8">
    <mergeCell ref="A65:H65"/>
    <mergeCell ref="A1:J1"/>
    <mergeCell ref="A2:J2"/>
    <mergeCell ref="A51:J51"/>
    <mergeCell ref="A23:G23"/>
    <mergeCell ref="A18:G18"/>
    <mergeCell ref="A13:G13"/>
    <mergeCell ref="A49:H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7505-34F7-4AF7-A1A9-255CA1D33EF8}">
  <dimension ref="A1:H13"/>
  <sheetViews>
    <sheetView workbookViewId="0">
      <selection activeCell="A2" sqref="A2:H13"/>
    </sheetView>
  </sheetViews>
  <sheetFormatPr defaultColWidth="34.5703125" defaultRowHeight="15"/>
  <cols>
    <col min="1" max="1" width="13.7109375" bestFit="1" customWidth="1"/>
    <col min="2" max="2" width="29" customWidth="1"/>
    <col min="3" max="3" width="37.28515625" bestFit="1" customWidth="1"/>
    <col min="4" max="4" width="26.85546875" bestFit="1" customWidth="1"/>
    <col min="6" max="6" width="20.85546875" bestFit="1" customWidth="1"/>
    <col min="7" max="7" width="21" bestFit="1" customWidth="1"/>
    <col min="8" max="8" width="10.28515625" bestFit="1" customWidth="1"/>
  </cols>
  <sheetData>
    <row r="1" spans="1:8" ht="32.25" thickBot="1">
      <c r="A1" s="6" t="s">
        <v>118</v>
      </c>
      <c r="B1" s="6" t="s">
        <v>114</v>
      </c>
      <c r="C1" s="6" t="s">
        <v>0</v>
      </c>
      <c r="D1" s="6" t="s">
        <v>1</v>
      </c>
      <c r="E1" s="6" t="s">
        <v>2</v>
      </c>
      <c r="F1" s="6" t="s">
        <v>119</v>
      </c>
      <c r="G1" s="6" t="s">
        <v>120</v>
      </c>
      <c r="H1" s="6" t="s">
        <v>121</v>
      </c>
    </row>
    <row r="2" spans="1:8" ht="16.5" thickBot="1">
      <c r="A2" s="1" t="s">
        <v>85</v>
      </c>
      <c r="B2" s="2" t="s">
        <v>87</v>
      </c>
      <c r="C2" s="3" t="s">
        <v>86</v>
      </c>
      <c r="D2" s="1" t="s">
        <v>5</v>
      </c>
      <c r="E2" s="4">
        <v>0.40660000000000002</v>
      </c>
      <c r="F2" s="5">
        <v>0.37</v>
      </c>
      <c r="G2" s="5">
        <v>0</v>
      </c>
      <c r="H2" s="5">
        <v>1</v>
      </c>
    </row>
    <row r="3" spans="1:8" ht="16.5" thickBot="1">
      <c r="A3" s="1" t="s">
        <v>88</v>
      </c>
      <c r="B3" s="2" t="s">
        <v>90</v>
      </c>
      <c r="C3" s="3" t="s">
        <v>89</v>
      </c>
      <c r="D3" s="1" t="s">
        <v>5</v>
      </c>
      <c r="E3" s="4">
        <v>0</v>
      </c>
      <c r="F3" s="5">
        <v>0</v>
      </c>
      <c r="G3" s="5">
        <v>0.96530000000000005</v>
      </c>
      <c r="H3" s="5">
        <v>0</v>
      </c>
    </row>
    <row r="4" spans="1:8" ht="16.5" thickBot="1">
      <c r="A4" s="1" t="s">
        <v>91</v>
      </c>
      <c r="B4" s="2" t="s">
        <v>90</v>
      </c>
      <c r="C4" s="3" t="s">
        <v>92</v>
      </c>
      <c r="D4" s="1" t="s">
        <v>5</v>
      </c>
      <c r="E4" s="4">
        <v>0</v>
      </c>
      <c r="F4" s="5">
        <v>0</v>
      </c>
      <c r="G4" s="5">
        <v>0.55689999999999995</v>
      </c>
      <c r="H4" s="5">
        <v>0</v>
      </c>
    </row>
    <row r="5" spans="1:8" ht="16.5" thickBot="1">
      <c r="A5" s="1" t="s">
        <v>93</v>
      </c>
      <c r="B5" s="2" t="s">
        <v>87</v>
      </c>
      <c r="C5" s="3" t="s">
        <v>94</v>
      </c>
      <c r="D5" s="1" t="s">
        <v>5</v>
      </c>
      <c r="E5" s="4">
        <v>0.31440000000000001</v>
      </c>
      <c r="F5" s="5">
        <v>0.34200000000000003</v>
      </c>
      <c r="G5" s="5">
        <v>0</v>
      </c>
      <c r="H5" s="5">
        <v>1</v>
      </c>
    </row>
    <row r="6" spans="1:8" ht="16.5" thickBot="1">
      <c r="A6" s="1" t="s">
        <v>95</v>
      </c>
      <c r="B6" s="2" t="s">
        <v>87</v>
      </c>
      <c r="C6" s="3" t="s">
        <v>96</v>
      </c>
      <c r="D6" s="1" t="s">
        <v>5</v>
      </c>
      <c r="E6" s="4">
        <v>0.58309999999999995</v>
      </c>
      <c r="F6" s="5">
        <v>0.80410000000000004</v>
      </c>
      <c r="G6" s="5">
        <v>0</v>
      </c>
      <c r="H6" s="5">
        <v>1</v>
      </c>
    </row>
    <row r="7" spans="1:8" ht="16.5" thickBot="1">
      <c r="A7" s="1" t="s">
        <v>97</v>
      </c>
      <c r="B7" s="2" t="s">
        <v>115</v>
      </c>
      <c r="C7" s="3" t="s">
        <v>98</v>
      </c>
      <c r="D7" s="1" t="s">
        <v>5</v>
      </c>
      <c r="E7" s="4">
        <v>0.2457</v>
      </c>
      <c r="F7" s="5">
        <v>0.28520000000000001</v>
      </c>
      <c r="G7" s="5">
        <v>0</v>
      </c>
      <c r="H7" s="5">
        <v>1</v>
      </c>
    </row>
    <row r="8" spans="1:8" ht="16.5" thickBot="1">
      <c r="A8" s="1" t="s">
        <v>99</v>
      </c>
      <c r="B8" s="2" t="s">
        <v>100</v>
      </c>
      <c r="C8" s="3" t="s">
        <v>117</v>
      </c>
      <c r="D8" s="1" t="s">
        <v>5</v>
      </c>
      <c r="E8" s="4">
        <v>0.2641</v>
      </c>
      <c r="F8" s="5">
        <v>0.30830000000000002</v>
      </c>
      <c r="G8" s="5">
        <v>0</v>
      </c>
      <c r="H8" s="5">
        <v>0.6129</v>
      </c>
    </row>
    <row r="9" spans="1:8" ht="16.5" thickBot="1">
      <c r="A9" s="1" t="s">
        <v>101</v>
      </c>
      <c r="B9" s="2" t="s">
        <v>100</v>
      </c>
      <c r="C9" s="3" t="s">
        <v>116</v>
      </c>
      <c r="D9" s="1" t="s">
        <v>5</v>
      </c>
      <c r="E9" s="4">
        <v>0.14069999999999999</v>
      </c>
      <c r="F9" s="5">
        <v>0.16220000000000001</v>
      </c>
      <c r="G9" s="5">
        <v>0</v>
      </c>
      <c r="H9" s="5">
        <v>0.83860000000000001</v>
      </c>
    </row>
    <row r="10" spans="1:8" ht="16.5" thickBot="1">
      <c r="A10" s="1" t="s">
        <v>102</v>
      </c>
      <c r="B10" s="2" t="s">
        <v>104</v>
      </c>
      <c r="C10" s="3" t="s">
        <v>103</v>
      </c>
      <c r="D10" s="1" t="s">
        <v>5</v>
      </c>
      <c r="E10" s="4">
        <v>0.46100000000000002</v>
      </c>
      <c r="F10" s="5">
        <v>0.60929999999999995</v>
      </c>
      <c r="G10" s="5">
        <v>2.5600000000000001E-2</v>
      </c>
      <c r="H10" s="5">
        <v>0.96660000000000001</v>
      </c>
    </row>
    <row r="11" spans="1:8" ht="16.5" thickBot="1">
      <c r="A11" s="1" t="s">
        <v>105</v>
      </c>
      <c r="B11" s="2" t="s">
        <v>107</v>
      </c>
      <c r="C11" s="3" t="s">
        <v>106</v>
      </c>
      <c r="D11" s="1" t="s">
        <v>5</v>
      </c>
      <c r="E11" s="4">
        <v>9.0800000000000006E-2</v>
      </c>
      <c r="F11" s="5">
        <v>0.871</v>
      </c>
      <c r="G11" s="5">
        <v>0</v>
      </c>
      <c r="H11" s="5">
        <v>1</v>
      </c>
    </row>
    <row r="12" spans="1:8" ht="16.5" thickBot="1">
      <c r="A12" s="1" t="s">
        <v>108</v>
      </c>
      <c r="B12" s="2" t="s">
        <v>110</v>
      </c>
      <c r="C12" s="3" t="s">
        <v>109</v>
      </c>
      <c r="D12" s="1" t="s">
        <v>5</v>
      </c>
      <c r="E12" s="4">
        <v>0.2009</v>
      </c>
      <c r="F12" s="5">
        <v>0.68120000000000003</v>
      </c>
      <c r="G12" s="5">
        <v>0.59450000000000003</v>
      </c>
      <c r="H12" s="5">
        <v>0.83050000000000002</v>
      </c>
    </row>
    <row r="13" spans="1:8" ht="16.5" thickBot="1">
      <c r="A13" s="1" t="s">
        <v>111</v>
      </c>
      <c r="B13" s="2" t="s">
        <v>113</v>
      </c>
      <c r="C13" s="3" t="s">
        <v>112</v>
      </c>
      <c r="D13" s="1" t="s">
        <v>5</v>
      </c>
      <c r="E13" s="4">
        <v>0.17430000000000001</v>
      </c>
      <c r="F13" s="5">
        <v>0.71489999999999998</v>
      </c>
      <c r="G13" s="5">
        <v>0.82779999999999998</v>
      </c>
      <c r="H13" s="5">
        <v>0.60550000000000004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2</vt:lpstr>
      <vt:lpstr>Group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2025-10-16T13:20:44Z</dcterms:created>
  <dcterms:modified xsi:type="dcterms:W3CDTF">2025-10-16T18:01:44Z</dcterms:modified>
</cp:coreProperties>
</file>